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gamy/Downloads/Others/Courses/Coursera/Data Science/05-Python/"/>
    </mc:Choice>
  </mc:AlternateContent>
  <xr:revisionPtr revIDLastSave="0" documentId="13_ncr:1_{0B082C19-3F78-7B47-A00F-4792E6778370}" xr6:coauthVersionLast="47" xr6:coauthVersionMax="47" xr10:uidLastSave="{00000000-0000-0000-0000-000000000000}"/>
  <bookViews>
    <workbookView xWindow="0" yWindow="500" windowWidth="32980" windowHeight="20140" xr2:uid="{76F2D8FE-0054-4598-9C36-C1C28E4F078D}"/>
  </bookViews>
  <sheets>
    <sheet name="Summary" sheetId="1" r:id="rId1"/>
  </sheets>
  <definedNames>
    <definedName name="_xlnm._FilterDatabase" localSheetId="0" hidden="1">Summary!$F$1:$S$246</definedName>
    <definedName name="_xlchart.v1.0" hidden="1">Summary!$A$19</definedName>
    <definedName name="_xlchart.v1.1" hidden="1">Summary!$B$6</definedName>
    <definedName name="_xlchart.v1.2" hidden="1">Summary!$C$6</definedName>
    <definedName name="_xlchart.v1.3" hidden="1">Summary!$A$19</definedName>
    <definedName name="_xlchart.v1.4" hidden="1">Summary!$B$6</definedName>
    <definedName name="_xlchart.v1.5" hidden="1">Summary!$C$6</definedName>
    <definedName name="_xlchart.v1.6" hidden="1">Summary!$A$19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D14" i="1"/>
  <c r="D13" i="1"/>
  <c r="D12" i="1"/>
  <c r="C14" i="1"/>
  <c r="C13" i="1"/>
  <c r="C12" i="1"/>
  <c r="B12" i="1"/>
  <c r="D6" i="1"/>
  <c r="C6" i="1"/>
  <c r="B6" i="1"/>
  <c r="Q2" i="1"/>
  <c r="Q3" i="1"/>
  <c r="Q4" i="1"/>
  <c r="Q5" i="1"/>
  <c r="Q6" i="1"/>
  <c r="Q7" i="1"/>
  <c r="Q8" i="1"/>
  <c r="Q9" i="1"/>
  <c r="R9" i="1" s="1"/>
  <c r="Q10" i="1"/>
  <c r="Q11" i="1"/>
  <c r="Q12" i="1"/>
  <c r="Q13" i="1"/>
  <c r="Q14" i="1"/>
  <c r="Q15" i="1"/>
  <c r="Q16" i="1"/>
  <c r="Q17" i="1"/>
  <c r="Q18" i="1"/>
  <c r="R18" i="1" s="1"/>
  <c r="Q19" i="1"/>
  <c r="Q20" i="1"/>
  <c r="Q21" i="1"/>
  <c r="R21" i="1" s="1"/>
  <c r="Q22" i="1"/>
  <c r="Q23" i="1"/>
  <c r="Q24" i="1"/>
  <c r="Q25" i="1"/>
  <c r="Q26" i="1"/>
  <c r="Q27" i="1"/>
  <c r="Q28" i="1"/>
  <c r="R28" i="1" s="1"/>
  <c r="Q29" i="1"/>
  <c r="Q30" i="1"/>
  <c r="Q31" i="1"/>
  <c r="Q32" i="1"/>
  <c r="R32" i="1" s="1"/>
  <c r="Q33" i="1"/>
  <c r="R33" i="1" s="1"/>
  <c r="Q34" i="1"/>
  <c r="Q35" i="1"/>
  <c r="R35" i="1" s="1"/>
  <c r="Q36" i="1"/>
  <c r="Q37" i="1"/>
  <c r="Q38" i="1"/>
  <c r="Q39" i="1"/>
  <c r="Q40" i="1"/>
  <c r="Q41" i="1"/>
  <c r="Q42" i="1"/>
  <c r="Q43" i="1"/>
  <c r="Q44" i="1"/>
  <c r="R44" i="1" s="1"/>
  <c r="Q45" i="1"/>
  <c r="Q46" i="1"/>
  <c r="R46" i="1" s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R65" i="1" s="1"/>
  <c r="Q66" i="1"/>
  <c r="Q67" i="1"/>
  <c r="Q68" i="1"/>
  <c r="Q69" i="1"/>
  <c r="R69" i="1" s="1"/>
  <c r="Q70" i="1"/>
  <c r="Q71" i="1"/>
  <c r="Q72" i="1"/>
  <c r="Q73" i="1"/>
  <c r="Q74" i="1"/>
  <c r="Q75" i="1"/>
  <c r="Q76" i="1"/>
  <c r="R76" i="1" s="1"/>
  <c r="Q77" i="1"/>
  <c r="Q78" i="1"/>
  <c r="Q79" i="1"/>
  <c r="Q80" i="1"/>
  <c r="R80" i="1" s="1"/>
  <c r="Q81" i="1"/>
  <c r="R81" i="1" s="1"/>
  <c r="Q82" i="1"/>
  <c r="Q83" i="1"/>
  <c r="Q84" i="1"/>
  <c r="Q85" i="1"/>
  <c r="Q86" i="1"/>
  <c r="Q87" i="1"/>
  <c r="Q88" i="1"/>
  <c r="R88" i="1" s="1"/>
  <c r="Q89" i="1"/>
  <c r="Q90" i="1"/>
  <c r="Q91" i="1"/>
  <c r="Q92" i="1"/>
  <c r="R92" i="1" s="1"/>
  <c r="Q93" i="1"/>
  <c r="Q94" i="1"/>
  <c r="Q95" i="1"/>
  <c r="Q96" i="1"/>
  <c r="Q97" i="1"/>
  <c r="Q98" i="1"/>
  <c r="Q99" i="1"/>
  <c r="Q100" i="1"/>
  <c r="Q101" i="1"/>
  <c r="Q102" i="1"/>
  <c r="Q103" i="1"/>
  <c r="Q104" i="1"/>
  <c r="R104" i="1" s="1"/>
  <c r="Q105" i="1"/>
  <c r="Q106" i="1"/>
  <c r="Q107" i="1"/>
  <c r="Q108" i="1"/>
  <c r="Q109" i="1"/>
  <c r="Q110" i="1"/>
  <c r="Q111" i="1"/>
  <c r="Q112" i="1"/>
  <c r="Q113" i="1"/>
  <c r="Q114" i="1"/>
  <c r="Q115" i="1"/>
  <c r="R115" i="1" s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R128" i="1" s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R141" i="1" s="1"/>
  <c r="Q142" i="1"/>
  <c r="Q143" i="1"/>
  <c r="R143" i="1" s="1"/>
  <c r="Q144" i="1"/>
  <c r="Q145" i="1"/>
  <c r="Q146" i="1"/>
  <c r="Q147" i="1"/>
  <c r="Q148" i="1"/>
  <c r="Q149" i="1"/>
  <c r="Q150" i="1"/>
  <c r="Q151" i="1"/>
  <c r="Q152" i="1"/>
  <c r="R152" i="1" s="1"/>
  <c r="Q153" i="1"/>
  <c r="Q154" i="1"/>
  <c r="Q155" i="1"/>
  <c r="Q156" i="1"/>
  <c r="Q157" i="1"/>
  <c r="Q158" i="1"/>
  <c r="Q159" i="1"/>
  <c r="Q160" i="1"/>
  <c r="Q161" i="1"/>
  <c r="R161" i="1" s="1"/>
  <c r="Q162" i="1"/>
  <c r="Q163" i="1"/>
  <c r="R163" i="1" s="1"/>
  <c r="Q164" i="1"/>
  <c r="Q165" i="1"/>
  <c r="R165" i="1" s="1"/>
  <c r="Q166" i="1"/>
  <c r="R166" i="1" s="1"/>
  <c r="Q167" i="1"/>
  <c r="R167" i="1" s="1"/>
  <c r="Q168" i="1"/>
  <c r="Q169" i="1"/>
  <c r="Q170" i="1"/>
  <c r="Q171" i="1"/>
  <c r="Q172" i="1"/>
  <c r="Q173" i="1"/>
  <c r="R173" i="1" s="1"/>
  <c r="Q174" i="1"/>
  <c r="Q175" i="1"/>
  <c r="Q176" i="1"/>
  <c r="Q177" i="1"/>
  <c r="R177" i="1" s="1"/>
  <c r="Q178" i="1"/>
  <c r="Q179" i="1"/>
  <c r="Q180" i="1"/>
  <c r="Q181" i="1"/>
  <c r="Q182" i="1"/>
  <c r="Q183" i="1"/>
  <c r="Q184" i="1"/>
  <c r="Q185" i="1"/>
  <c r="Q186" i="1"/>
  <c r="Q187" i="1"/>
  <c r="Q188" i="1"/>
  <c r="Q189" i="1"/>
  <c r="R189" i="1" s="1"/>
  <c r="Q190" i="1"/>
  <c r="Q191" i="1"/>
  <c r="R191" i="1" s="1"/>
  <c r="Q192" i="1"/>
  <c r="Q193" i="1"/>
  <c r="Q194" i="1"/>
  <c r="Q195" i="1"/>
  <c r="Q196" i="1"/>
  <c r="Q197" i="1"/>
  <c r="Q198" i="1"/>
  <c r="Q199" i="1"/>
  <c r="Q200" i="1"/>
  <c r="R200" i="1" s="1"/>
  <c r="Q201" i="1"/>
  <c r="Q202" i="1"/>
  <c r="Q203" i="1"/>
  <c r="Q204" i="1"/>
  <c r="Q205" i="1"/>
  <c r="Q206" i="1"/>
  <c r="Q207" i="1"/>
  <c r="Q208" i="1"/>
  <c r="R208" i="1" s="1"/>
  <c r="Q209" i="1"/>
  <c r="Q210" i="1"/>
  <c r="Q211" i="1"/>
  <c r="R211" i="1" s="1"/>
  <c r="Q212" i="1"/>
  <c r="R212" i="1" s="1"/>
  <c r="Q213" i="1"/>
  <c r="Q214" i="1"/>
  <c r="R214" i="1" s="1"/>
  <c r="Q215" i="1"/>
  <c r="Q216" i="1"/>
  <c r="Q217" i="1"/>
  <c r="Q218" i="1"/>
  <c r="Q219" i="1"/>
  <c r="Q220" i="1"/>
  <c r="Q221" i="1"/>
  <c r="Q222" i="1"/>
  <c r="Q223" i="1"/>
  <c r="Q224" i="1"/>
  <c r="R224" i="1" s="1"/>
  <c r="Q225" i="1"/>
  <c r="Q226" i="1"/>
  <c r="R226" i="1" s="1"/>
  <c r="Q227" i="1"/>
  <c r="Q228" i="1"/>
  <c r="Q229" i="1"/>
  <c r="Q230" i="1"/>
  <c r="Q231" i="1"/>
  <c r="Q232" i="1"/>
  <c r="Q233" i="1"/>
  <c r="R233" i="1" s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R246" i="1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R176" i="1" s="1"/>
  <c r="P177" i="1"/>
  <c r="P178" i="1"/>
  <c r="P179" i="1"/>
  <c r="P180" i="1"/>
  <c r="P181" i="1"/>
  <c r="P182" i="1"/>
  <c r="P183" i="1"/>
  <c r="P184" i="1"/>
  <c r="P185" i="1"/>
  <c r="P186" i="1"/>
  <c r="P187" i="1"/>
  <c r="P188" i="1"/>
  <c r="R188" i="1" s="1"/>
  <c r="P189" i="1"/>
  <c r="P190" i="1"/>
  <c r="P191" i="1"/>
  <c r="P192" i="1"/>
  <c r="P193" i="1"/>
  <c r="P194" i="1"/>
  <c r="P195" i="1"/>
  <c r="P196" i="1"/>
  <c r="P197" i="1"/>
  <c r="P198" i="1"/>
  <c r="R198" i="1" s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R235" i="1" s="1"/>
  <c r="P236" i="1"/>
  <c r="P237" i="1"/>
  <c r="P238" i="1"/>
  <c r="P239" i="1"/>
  <c r="P240" i="1"/>
  <c r="P241" i="1"/>
  <c r="P242" i="1"/>
  <c r="P243" i="1"/>
  <c r="P244" i="1"/>
  <c r="P245" i="1"/>
  <c r="P24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R207" i="1"/>
  <c r="R210" i="1"/>
  <c r="R213" i="1"/>
  <c r="R231" i="1"/>
  <c r="R243" i="1"/>
  <c r="R245" i="1"/>
  <c r="R219" i="1"/>
  <c r="R221" i="1"/>
  <c r="R223" i="1"/>
  <c r="R225" i="1"/>
  <c r="R227" i="1"/>
  <c r="R228" i="1"/>
  <c r="R230" i="1"/>
  <c r="R196" i="1"/>
  <c r="R199" i="1"/>
  <c r="R172" i="1"/>
  <c r="R184" i="1"/>
  <c r="R149" i="1"/>
  <c r="R151" i="1"/>
  <c r="R153" i="1"/>
  <c r="R155" i="1"/>
  <c r="R159" i="1"/>
  <c r="R2" i="1"/>
  <c r="R5" i="1"/>
  <c r="R8" i="1"/>
  <c r="R14" i="1"/>
  <c r="R20" i="1"/>
  <c r="R22" i="1"/>
  <c r="R24" i="1"/>
  <c r="R25" i="1"/>
  <c r="R3" i="1"/>
  <c r="R6" i="1"/>
  <c r="R19" i="1"/>
  <c r="R4" i="1"/>
  <c r="R7" i="1"/>
  <c r="R11" i="1"/>
  <c r="R15" i="1"/>
  <c r="R16" i="1"/>
  <c r="R17" i="1"/>
  <c r="R26" i="1"/>
  <c r="R27" i="1"/>
  <c r="R29" i="1"/>
  <c r="R30" i="1"/>
  <c r="R31" i="1"/>
  <c r="R156" i="1"/>
  <c r="R158" i="1"/>
  <c r="R160" i="1"/>
  <c r="R162" i="1"/>
  <c r="R164" i="1"/>
  <c r="R170" i="1"/>
  <c r="R185" i="1"/>
  <c r="R110" i="1"/>
  <c r="R113" i="1"/>
  <c r="R116" i="1"/>
  <c r="R122" i="1"/>
  <c r="R135" i="1"/>
  <c r="R137" i="1"/>
  <c r="R139" i="1"/>
  <c r="R147" i="1"/>
  <c r="R111" i="1"/>
  <c r="R114" i="1"/>
  <c r="R117" i="1"/>
  <c r="R123" i="1"/>
  <c r="R134" i="1"/>
  <c r="R136" i="1"/>
  <c r="R138" i="1"/>
  <c r="R140" i="1"/>
  <c r="R146" i="1"/>
  <c r="R148" i="1"/>
  <c r="R125" i="1"/>
  <c r="R126" i="1"/>
  <c r="R127" i="1"/>
  <c r="R129" i="1"/>
  <c r="R130" i="1"/>
  <c r="R131" i="1"/>
  <c r="R132" i="1"/>
  <c r="R105" i="1"/>
  <c r="R112" i="1"/>
  <c r="R124" i="1"/>
  <c r="R171" i="1"/>
  <c r="R174" i="1"/>
  <c r="R182" i="1"/>
  <c r="R186" i="1"/>
  <c r="R175" i="1"/>
  <c r="R183" i="1"/>
  <c r="R187" i="1"/>
  <c r="R194" i="1"/>
  <c r="R150" i="1"/>
  <c r="R197" i="1"/>
  <c r="R206" i="1"/>
  <c r="R209" i="1"/>
  <c r="R218" i="1"/>
  <c r="R232" i="1"/>
  <c r="R234" i="1"/>
  <c r="R236" i="1"/>
  <c r="R242" i="1"/>
  <c r="R244" i="1"/>
  <c r="R220" i="1"/>
  <c r="R222" i="1"/>
  <c r="R54" i="1"/>
  <c r="R55" i="1"/>
  <c r="R56" i="1"/>
  <c r="R57" i="1"/>
  <c r="R38" i="1"/>
  <c r="R40" i="1"/>
  <c r="R42" i="1"/>
  <c r="R39" i="1"/>
  <c r="R41" i="1"/>
  <c r="R43" i="1"/>
  <c r="R45" i="1"/>
  <c r="R50" i="1"/>
  <c r="R51" i="1"/>
  <c r="R62" i="1"/>
  <c r="R63" i="1"/>
  <c r="R64" i="1"/>
  <c r="R66" i="1"/>
  <c r="R67" i="1"/>
  <c r="R52" i="1"/>
  <c r="R53" i="1"/>
  <c r="R94" i="1"/>
  <c r="R98" i="1"/>
  <c r="R100" i="1"/>
  <c r="R102" i="1"/>
  <c r="R68" i="1"/>
  <c r="R74" i="1"/>
  <c r="R78" i="1"/>
  <c r="R90" i="1"/>
  <c r="R91" i="1"/>
  <c r="R93" i="1"/>
  <c r="R99" i="1"/>
  <c r="R101" i="1"/>
  <c r="R103" i="1"/>
  <c r="R86" i="1"/>
  <c r="R87" i="1"/>
  <c r="R89" i="1"/>
  <c r="R75" i="1"/>
  <c r="R77" i="1"/>
  <c r="R79" i="1"/>
  <c r="R195" i="1"/>
  <c r="R229" i="1" l="1"/>
  <c r="R217" i="1"/>
  <c r="R205" i="1"/>
  <c r="R193" i="1"/>
  <c r="R181" i="1"/>
  <c r="R169" i="1"/>
  <c r="R157" i="1"/>
  <c r="R145" i="1"/>
  <c r="R133" i="1"/>
  <c r="R121" i="1"/>
  <c r="R109" i="1"/>
  <c r="R97" i="1"/>
  <c r="R85" i="1"/>
  <c r="R73" i="1"/>
  <c r="R61" i="1"/>
  <c r="R49" i="1"/>
  <c r="R37" i="1"/>
  <c r="R13" i="1"/>
  <c r="R240" i="1"/>
  <c r="R216" i="1"/>
  <c r="R204" i="1"/>
  <c r="R192" i="1"/>
  <c r="R180" i="1"/>
  <c r="R168" i="1"/>
  <c r="R144" i="1"/>
  <c r="R120" i="1"/>
  <c r="R108" i="1"/>
  <c r="R96" i="1"/>
  <c r="R84" i="1"/>
  <c r="R72" i="1"/>
  <c r="R60" i="1"/>
  <c r="R48" i="1"/>
  <c r="R36" i="1"/>
  <c r="R12" i="1"/>
  <c r="R239" i="1"/>
  <c r="R203" i="1"/>
  <c r="R179" i="1"/>
  <c r="R119" i="1"/>
  <c r="R107" i="1"/>
  <c r="R95" i="1"/>
  <c r="R71" i="1"/>
  <c r="R47" i="1"/>
  <c r="R23" i="1"/>
  <c r="R83" i="1"/>
  <c r="R202" i="1"/>
  <c r="R178" i="1"/>
  <c r="R142" i="1"/>
  <c r="R106" i="1"/>
  <c r="R82" i="1"/>
  <c r="R70" i="1"/>
  <c r="R58" i="1"/>
  <c r="R34" i="1"/>
  <c r="R10" i="1"/>
  <c r="R241" i="1"/>
  <c r="R215" i="1"/>
  <c r="R59" i="1"/>
  <c r="R238" i="1"/>
  <c r="R190" i="1"/>
  <c r="R154" i="1"/>
  <c r="R118" i="1"/>
  <c r="R237" i="1"/>
  <c r="R201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<sst xmlns="http://schemas.openxmlformats.org/spreadsheetml/2006/main" count="1742" uniqueCount="156">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</sst>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F1114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1" fillId="0" borderId="0" xfId="0" applyFont="1"/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/>
    <xf numFmtId="167" fontId="1" fillId="0" borderId="0" xfId="0" applyNumberFormat="1" applyFon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6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Q1 Sales Comparison (2022 vs 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Summary!$A$12:$A$14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Summary!$B$12:$B$14</c:f>
              <c:numCache>
                <c:formatCode>General</c:formatCode>
                <c:ptCount val="3"/>
                <c:pt idx="0">
                  <c:v>94592610</c:v>
                </c:pt>
                <c:pt idx="1">
                  <c:v>112530810</c:v>
                </c:pt>
                <c:pt idx="2">
                  <c:v>112530810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3-2647-810E-3A4E9210156A}"/>
            </c:ext>
          </c:extLst>
        </c:ser>
        <c:ser>
          <c:idx val="1"/>
          <c:order val="1"/>
          <c:tx>
            <c:strRef>
              <c:f>Summary!$C$11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Summary!$A$12:$A$14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Summary!$C$12:$C$14</c:f>
              <c:numCache>
                <c:formatCode>General</c:formatCode>
                <c:ptCount val="3"/>
                <c:pt idx="0">
                  <c:v>139002255</c:v>
                </c:pt>
                <c:pt idx="1">
                  <c:v>143485965</c:v>
                </c:pt>
                <c:pt idx="2">
                  <c:v>150841005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3-2647-810E-3A4E92101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14311504"/>
        <c:axId val="1614320400"/>
      </c:barChart>
      <c:catAx>
        <c:axId val="16143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20400"/>
        <c:crosses val="autoZero"/>
        <c:auto val="1"/>
        <c:lblAlgn val="ctr"/>
        <c:lblOffset val="100"/>
        <c:noMultiLvlLbl val="0"/>
      </c:catAx>
      <c:valAx>
        <c:axId val="161432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1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Summary!$A$6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numRef>
              <c:f>Summary!$B$5:$C$5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Summary!$B$6:$C$6</c:f>
              <c:numCache>
                <c:formatCode>_-[$$-409]* #,##0_ ;_-[$$-409]* \-#,##0\ ;_-[$$-409]* "-"??_ ;_-@_ </c:formatCode>
                <c:ptCount val="2"/>
                <c:pt idx="0">
                  <c:v>313324620</c:v>
                </c:pt>
                <c:pt idx="1">
                  <c:v>433329225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C74A-86FD-4D7252FA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6350</xdr:rowOff>
    </xdr:from>
    <xdr:to>
      <xdr:col>4</xdr:col>
      <xdr:colOff>279400</xdr:colOff>
      <xdr:row>46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3DA554-4F40-604F-483E-A254C19B0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16</xdr:row>
      <xdr:rowOff>6350</xdr:rowOff>
    </xdr:from>
    <xdr:to>
      <xdr:col>4</xdr:col>
      <xdr:colOff>304800</xdr:colOff>
      <xdr:row>30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BECA43-0A44-2BF5-533C-E33928A70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58A13-91C7-BE40-9FA1-A4414CB0A409}" name="Table1" displayName="Table1" ref="F1:Y246" totalsRowShown="0" headerRowDxfId="4">
  <autoFilter ref="F1:Y246" xr:uid="{FCF58A13-91C7-BE40-9FA1-A4414CB0A409}"/>
  <sortState xmlns:xlrd2="http://schemas.microsoft.com/office/spreadsheetml/2017/richdata2" ref="F2:Y246">
    <sortCondition ref="J2:J246"/>
  </sortState>
  <tableColumns count="20">
    <tableColumn id="1" xr3:uid="{E5C66774-ABBC-D044-8208-02B43CA95391}" name="Product ID"/>
    <tableColumn id="23" xr3:uid="{588886BA-0354-F440-A29D-B2D29058D55F}" name="Product Category"/>
    <tableColumn id="4" xr3:uid="{DD7F25AB-0EB4-5244-A089-F33E8A87A2EB}" name="Product Subcategory"/>
    <tableColumn id="5" xr3:uid="{C70E5825-FAEB-4B47-8427-F1ABE0B484CD}" name="Product Name"/>
    <tableColumn id="6" xr3:uid="{E19E8F42-5CF8-EE44-BEB6-8A7AA9B81F29}" name="Order Date" dataDxfId="8"/>
    <tableColumn id="7" xr3:uid="{7D0B91A5-266B-334B-A52E-43BA8F4424B7}" name="Month" dataDxfId="3">
      <calculatedColumnFormula>MONTH(J2)</calculatedColumnFormula>
    </tableColumn>
    <tableColumn id="8" xr3:uid="{30404A07-E1AA-6749-93D9-28C2C7C6452D}" name="Year" dataDxfId="2">
      <calculatedColumnFormula>YEAR(J2)</calculatedColumnFormula>
    </tableColumn>
    <tableColumn id="9" xr3:uid="{154C452B-2EE8-6840-BADD-0BCCCE20B949}" name="Wholesale Price" dataDxfId="7" dataCellStyle="Comma"/>
    <tableColumn id="10" xr3:uid="{422D6A38-0CC6-A14E-8E7B-4061BACF1CFC}" name="Retail Price" dataDxfId="6" dataCellStyle="Comma"/>
    <tableColumn id="11" xr3:uid="{DCD37900-3543-4E42-978A-E085A7019625}" name="Order Quantity"/>
    <tableColumn id="12" xr3:uid="{34890C6B-930D-DD41-B17E-C8801BAE9E94}" name=" Total (Before Tax)" dataDxfId="1" dataCellStyle="Comma">
      <calculatedColumnFormula>M2 * N2</calculatedColumnFormula>
    </tableColumn>
    <tableColumn id="13" xr3:uid="{82394D1E-D40C-4D4E-B992-8DC69A4D49B4}" name="Tax Due" dataDxfId="0" dataCellStyle="Comma">
      <calculatedColumnFormula>IF(P2 &gt; 2000,P2/100*5,0)</calculatedColumnFormula>
    </tableColumn>
    <tableColumn id="14" xr3:uid="{C513EBBC-411A-4543-AB5B-9408D3CA6546}" name="Order Total" dataDxfId="5" dataCellStyle="Comma">
      <calculatedColumnFormula>P2+Q2</calculatedColumnFormula>
    </tableColumn>
    <tableColumn id="15" xr3:uid="{561F9E63-E9BA-8D40-8685-69912AE65978}" name="Payment Method"/>
    <tableColumn id="16" xr3:uid="{DB0AEF71-45BE-1640-8F3A-2A391F60B24B}" name="Order Status"/>
    <tableColumn id="17" xr3:uid="{E9F68C9D-85C2-4F43-85C6-EB382EC8B5C9}" name="Order ID"/>
    <tableColumn id="18" xr3:uid="{66DEC334-FCDB-0C41-8E57-7EA1BBE23B69}" name="Customer ID"/>
    <tableColumn id="19" xr3:uid="{187AF1A2-FD67-1A4C-A23C-F96ACC7F3E94}" name="Product Description"/>
    <tableColumn id="20" xr3:uid="{3B339F4C-46AB-2940-9DCA-5E900906A9B7}" name="Product Size"/>
    <tableColumn id="21" xr3:uid="{19B958B9-A30E-0E4D-AEC7-1FBF3093C4F7}" name="Product Weigh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10" defaultColWidth="8.83203125" defaultRowHeight="15" x14ac:dyDescent="0.2"/>
  <cols>
    <col min="1" max="1" width="17.1640625" bestFit="1" customWidth="1"/>
    <col min="2" max="3" width="15" bestFit="1" customWidth="1"/>
    <col min="4" max="5" width="9.1640625" customWidth="1"/>
    <col min="6" max="6" width="11.6640625" customWidth="1"/>
    <col min="7" max="7" width="16.83203125" customWidth="1"/>
    <col min="8" max="8" width="23.33203125" bestFit="1" customWidth="1"/>
    <col min="9" max="9" width="12" customWidth="1"/>
    <col min="10" max="10" width="14.6640625" bestFit="1" customWidth="1"/>
    <col min="11" max="11" width="10.6640625" customWidth="1"/>
    <col min="12" max="12" width="16" customWidth="1"/>
    <col min="13" max="13" width="12.33203125" customWidth="1"/>
    <col min="14" max="14" width="15.1640625" customWidth="1"/>
    <col min="15" max="15" width="17" customWidth="1"/>
    <col min="16" max="16" width="11" customWidth="1"/>
    <col min="17" max="17" width="12.1640625" customWidth="1"/>
    <col min="18" max="18" width="17" customWidth="1"/>
    <col min="19" max="19" width="13" customWidth="1"/>
    <col min="20" max="20" width="10" customWidth="1"/>
    <col min="21" max="21" width="13" customWidth="1"/>
    <col min="22" max="22" width="39.6640625" bestFit="1" customWidth="1"/>
    <col min="23" max="23" width="34" bestFit="1" customWidth="1"/>
    <col min="24" max="24" width="15.6640625" customWidth="1"/>
  </cols>
  <sheetData>
    <row r="1" spans="1:25" ht="31.5" customHeight="1" x14ac:dyDescent="0.2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2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 t="shared" ref="K2:K65" si="0">MONTH(J2)</f>
        <v>1</v>
      </c>
      <c r="L2">
        <f t="shared" ref="L2:L65" si="1">YEAR(J2)</f>
        <v>2022</v>
      </c>
      <c r="M2" s="1">
        <v>840</v>
      </c>
      <c r="N2" s="1">
        <v>1200</v>
      </c>
      <c r="O2">
        <v>2</v>
      </c>
      <c r="P2" s="1">
        <f t="shared" ref="P2:P65" si="2">M2 * N2</f>
        <v>1008000</v>
      </c>
      <c r="Q2" s="1">
        <f t="shared" ref="Q2:Q65" si="3">IF(P2 &gt; 2000,P2/100*5,0)</f>
        <v>50400</v>
      </c>
      <c r="R2" s="1">
        <f>P2+Q2</f>
        <v>1058400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2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si="0"/>
        <v>1</v>
      </c>
      <c r="L3">
        <f t="shared" si="1"/>
        <v>2022</v>
      </c>
      <c r="M3" s="1">
        <v>1460</v>
      </c>
      <c r="N3" s="1">
        <v>2000</v>
      </c>
      <c r="O3">
        <v>2</v>
      </c>
      <c r="P3" s="1">
        <f t="shared" si="2"/>
        <v>2920000</v>
      </c>
      <c r="Q3" s="1">
        <f t="shared" si="3"/>
        <v>146000</v>
      </c>
      <c r="R3" s="1">
        <f>P3+Q3</f>
        <v>3066000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6" x14ac:dyDescent="0.2">
      <c r="A4" s="10" t="s">
        <v>147</v>
      </c>
      <c r="B4" s="10"/>
      <c r="C4" s="10"/>
      <c r="D4" s="10"/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1008000</v>
      </c>
      <c r="Q4" s="1">
        <f t="shared" si="3"/>
        <v>50400</v>
      </c>
      <c r="R4" s="1">
        <f>P4+Q4</f>
        <v>1058400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ht="32" x14ac:dyDescent="0.2">
      <c r="B5" s="11">
        <v>2022</v>
      </c>
      <c r="C5" s="11">
        <v>2023</v>
      </c>
      <c r="D5" s="12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1575000</v>
      </c>
      <c r="Q5" s="1">
        <f t="shared" si="3"/>
        <v>78750</v>
      </c>
      <c r="R5" s="1">
        <f>P5+Q5</f>
        <v>1653750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ht="17" x14ac:dyDescent="0.25">
      <c r="B6" s="14">
        <f>SUMIFS(R2:R246, L2:L246, 2022)</f>
        <v>313324620</v>
      </c>
      <c r="C6" s="14">
        <f>SUMIFS(R2:R246, L2:L246, 2023)</f>
        <v>433329225</v>
      </c>
      <c r="D6" s="13">
        <f>(C6 - B6) / B6</f>
        <v>0.38300407098554845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4562500</v>
      </c>
      <c r="Q6" s="1">
        <f t="shared" si="3"/>
        <v>228125</v>
      </c>
      <c r="R6" s="1">
        <f>P6+Q6</f>
        <v>4790625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2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1575000</v>
      </c>
      <c r="Q7" s="1">
        <f t="shared" si="3"/>
        <v>78750</v>
      </c>
      <c r="R7" s="1">
        <f>P7+Q7</f>
        <v>1653750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2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2268000</v>
      </c>
      <c r="Q8" s="1">
        <f t="shared" si="3"/>
        <v>113400</v>
      </c>
      <c r="R8" s="1">
        <f>P8+Q8</f>
        <v>2381400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2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2268000</v>
      </c>
      <c r="Q9" s="1">
        <f t="shared" si="3"/>
        <v>113400</v>
      </c>
      <c r="R9" s="1">
        <f>P9+Q9</f>
        <v>2381400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6" x14ac:dyDescent="0.2">
      <c r="A10" s="10" t="s">
        <v>148</v>
      </c>
      <c r="B10" s="10"/>
      <c r="C10" s="10"/>
      <c r="D10" s="10"/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3087000</v>
      </c>
      <c r="Q10" s="1">
        <f t="shared" si="3"/>
        <v>154350</v>
      </c>
      <c r="R10" s="1">
        <f>P10+Q10</f>
        <v>3241350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ht="32" x14ac:dyDescent="0.2">
      <c r="B11" s="11">
        <v>2022</v>
      </c>
      <c r="C11" s="11">
        <v>2023</v>
      </c>
      <c r="D11" s="11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3087000</v>
      </c>
      <c r="Q11" s="1">
        <f t="shared" si="3"/>
        <v>154350</v>
      </c>
      <c r="R11" s="1">
        <f>P11+Q11</f>
        <v>3241350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ht="17" x14ac:dyDescent="0.25">
      <c r="A12" s="9" t="s">
        <v>53</v>
      </c>
      <c r="B12" s="13">
        <f>SUMIFS($R$2:$R$103, $K$2:$K$103, 1)</f>
        <v>94592610</v>
      </c>
      <c r="C12" s="13">
        <f>SUMIFS($R$104:$R$246, $K$104:$K$246, 1)</f>
        <v>139002255</v>
      </c>
      <c r="D12" s="13">
        <f>(C12 - B12) / B12</f>
        <v>0.46948323975837014</v>
      </c>
      <c r="E12" s="12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1166099.9999999998</v>
      </c>
      <c r="Q12" s="1">
        <f t="shared" si="3"/>
        <v>58304.999999999993</v>
      </c>
      <c r="R12" s="1">
        <f>P12+Q12</f>
        <v>1224404.9999999998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ht="17" x14ac:dyDescent="0.25">
      <c r="A13" s="9" t="s">
        <v>57</v>
      </c>
      <c r="B13" s="13">
        <f>SUMIFS($R$2:$R$103, $K$2:$K$103, 2)</f>
        <v>112530810</v>
      </c>
      <c r="C13" s="13">
        <f>SUMIFS($R$104:$R$246, $K$104:$K$246, 2)</f>
        <v>143485965</v>
      </c>
      <c r="D13" s="13">
        <f t="shared" ref="D13:D14" si="4">(C13 - B13) / B13</f>
        <v>0.27508159765312273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1166099.9999999998</v>
      </c>
      <c r="Q13" s="1">
        <f t="shared" si="3"/>
        <v>58304.999999999993</v>
      </c>
      <c r="R13" s="1">
        <f>P13+Q13</f>
        <v>1224404.9999999998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ht="17" x14ac:dyDescent="0.25">
      <c r="A14" s="9" t="s">
        <v>60</v>
      </c>
      <c r="B14" s="13">
        <f>SUMIFS($R$2:$R$103, $K$2:$K$103, 2)</f>
        <v>112530810</v>
      </c>
      <c r="C14" s="13">
        <f>SUMIFS($R$104:$R$246, $K$104:$K$246, 3)</f>
        <v>150841005</v>
      </c>
      <c r="D14" s="13">
        <f t="shared" si="4"/>
        <v>0.34044183099721759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1766400</v>
      </c>
      <c r="Q14" s="1">
        <f t="shared" si="3"/>
        <v>88320</v>
      </c>
      <c r="R14" s="1">
        <f>P14+Q14</f>
        <v>1854720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2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1766400</v>
      </c>
      <c r="Q15" s="1">
        <f t="shared" si="3"/>
        <v>88320</v>
      </c>
      <c r="R15" s="1">
        <f>P15+Q15</f>
        <v>1854720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2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3291200</v>
      </c>
      <c r="Q16" s="1">
        <f t="shared" si="3"/>
        <v>164560</v>
      </c>
      <c r="R16" s="1">
        <f>P16+Q16</f>
        <v>3455760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2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4250000.0000000009</v>
      </c>
      <c r="Q17" s="1">
        <f t="shared" si="3"/>
        <v>212500.00000000003</v>
      </c>
      <c r="R17" s="1">
        <f>P17+Q17</f>
        <v>4462500.0000000009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2"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2454800</v>
      </c>
      <c r="Q18" s="1">
        <f t="shared" si="3"/>
        <v>122740</v>
      </c>
      <c r="R18" s="1">
        <f>P18+Q18</f>
        <v>2577540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2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3291200</v>
      </c>
      <c r="Q19" s="1">
        <f t="shared" si="3"/>
        <v>164560</v>
      </c>
      <c r="R19" s="1">
        <f>P19+Q19</f>
        <v>3455760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2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2680000</v>
      </c>
      <c r="Q20" s="1">
        <f t="shared" si="3"/>
        <v>134000</v>
      </c>
      <c r="R20" s="1">
        <f>P20+Q20</f>
        <v>2814000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2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2680000</v>
      </c>
      <c r="Q21" s="1">
        <f t="shared" si="3"/>
        <v>134000</v>
      </c>
      <c r="R21" s="1">
        <f>P21+Q21</f>
        <v>2814000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2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3544300</v>
      </c>
      <c r="Q22" s="1">
        <f t="shared" si="3"/>
        <v>177215</v>
      </c>
      <c r="R22" s="1">
        <f>P22+Q22</f>
        <v>3721515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2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3544300</v>
      </c>
      <c r="Q23" s="1">
        <f t="shared" si="3"/>
        <v>177215</v>
      </c>
      <c r="R23" s="1">
        <f>P23+Q23</f>
        <v>3721515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2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6750000</v>
      </c>
      <c r="Q24" s="1">
        <f t="shared" si="3"/>
        <v>337500</v>
      </c>
      <c r="R24" s="1">
        <f>P24+Q24</f>
        <v>7087500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2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9187500</v>
      </c>
      <c r="Q25" s="1">
        <f t="shared" si="3"/>
        <v>459375</v>
      </c>
      <c r="R25" s="1">
        <f>P25+Q25</f>
        <v>9646875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2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810700</v>
      </c>
      <c r="Q26" s="1">
        <f t="shared" si="3"/>
        <v>40535</v>
      </c>
      <c r="R26" s="1">
        <f>P26+Q26</f>
        <v>851235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2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1313200</v>
      </c>
      <c r="Q27" s="1">
        <f t="shared" si="3"/>
        <v>65660</v>
      </c>
      <c r="R27" s="1">
        <f>P27+Q27</f>
        <v>1378860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2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2023000</v>
      </c>
      <c r="Q28" s="1">
        <f t="shared" si="3"/>
        <v>101150</v>
      </c>
      <c r="R28" s="1">
        <f>P28+Q28</f>
        <v>2124150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2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2800000</v>
      </c>
      <c r="Q29" s="1">
        <f t="shared" si="3"/>
        <v>140000</v>
      </c>
      <c r="R29" s="1">
        <f>P29+Q29</f>
        <v>2940000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2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1462500</v>
      </c>
      <c r="Q30" s="1">
        <f t="shared" si="3"/>
        <v>73125</v>
      </c>
      <c r="R30" s="1">
        <f>P30+Q30</f>
        <v>1535625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2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2106000</v>
      </c>
      <c r="Q31" s="1">
        <f t="shared" si="3"/>
        <v>105300</v>
      </c>
      <c r="R31" s="1">
        <f>P31+Q31</f>
        <v>2211300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2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3808800</v>
      </c>
      <c r="Q32" s="1">
        <f t="shared" si="3"/>
        <v>190440</v>
      </c>
      <c r="R32" s="1">
        <f>P32+Q32</f>
        <v>3999240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2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4867200</v>
      </c>
      <c r="Q33" s="1">
        <f t="shared" si="3"/>
        <v>243360</v>
      </c>
      <c r="R33" s="1">
        <f>P33+Q33</f>
        <v>5110560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2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2920000</v>
      </c>
      <c r="Q34" s="1">
        <f t="shared" si="3"/>
        <v>146000</v>
      </c>
      <c r="R34" s="1">
        <f>P34+Q34</f>
        <v>3066000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2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1008000</v>
      </c>
      <c r="Q35" s="1">
        <f t="shared" si="3"/>
        <v>50400</v>
      </c>
      <c r="R35" s="1">
        <f>P35+Q35</f>
        <v>1058400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2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4562500</v>
      </c>
      <c r="Q36" s="1">
        <f t="shared" si="3"/>
        <v>228125</v>
      </c>
      <c r="R36" s="1">
        <f>P36+Q36</f>
        <v>4790625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2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1575000</v>
      </c>
      <c r="Q37" s="1">
        <f t="shared" si="3"/>
        <v>78750</v>
      </c>
      <c r="R37" s="1">
        <f>P37+Q37</f>
        <v>1653750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2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1878500</v>
      </c>
      <c r="Q38" s="1">
        <f t="shared" si="3"/>
        <v>93925</v>
      </c>
      <c r="R38" s="1">
        <f>P38+Q38</f>
        <v>1972425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2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2268000</v>
      </c>
      <c r="Q39" s="1">
        <f t="shared" si="3"/>
        <v>113400</v>
      </c>
      <c r="R39" s="1">
        <f>P39+Q39</f>
        <v>2381400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2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2866500</v>
      </c>
      <c r="Q40" s="1">
        <f t="shared" si="3"/>
        <v>143325</v>
      </c>
      <c r="R40" s="1">
        <f>P40+Q40</f>
        <v>3009825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2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3087000</v>
      </c>
      <c r="Q41" s="1">
        <f t="shared" si="3"/>
        <v>154350</v>
      </c>
      <c r="R41" s="1">
        <f>P41+Q41</f>
        <v>3241350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2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1552500</v>
      </c>
      <c r="Q42" s="1">
        <f t="shared" si="3"/>
        <v>77625</v>
      </c>
      <c r="R42" s="1">
        <f>P42+Q42</f>
        <v>1630125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2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1166099.9999999998</v>
      </c>
      <c r="Q43" s="1">
        <f t="shared" si="3"/>
        <v>58304.999999999993</v>
      </c>
      <c r="R43" s="1">
        <f>P43+Q43</f>
        <v>1224404.9999999998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2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2235600</v>
      </c>
      <c r="Q44" s="1">
        <f t="shared" si="3"/>
        <v>111780</v>
      </c>
      <c r="R44" s="1">
        <f>P44+Q44</f>
        <v>2347380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2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1766400</v>
      </c>
      <c r="Q45" s="1">
        <f t="shared" si="3"/>
        <v>88320</v>
      </c>
      <c r="R45" s="1">
        <f>P45+Q45</f>
        <v>1854720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2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6656000</v>
      </c>
      <c r="Q46" s="1">
        <f t="shared" si="3"/>
        <v>332800</v>
      </c>
      <c r="R46" s="1">
        <f>P46+Q46</f>
        <v>6988800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2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3291200</v>
      </c>
      <c r="Q47" s="1">
        <f t="shared" si="3"/>
        <v>164560</v>
      </c>
      <c r="R47" s="1">
        <f>P47+Q47</f>
        <v>3455760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2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3291200</v>
      </c>
      <c r="Q48" s="1">
        <f t="shared" si="3"/>
        <v>164560</v>
      </c>
      <c r="R48" s="1">
        <f>P48+Q48</f>
        <v>3455760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2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8898500</v>
      </c>
      <c r="Q49" s="1">
        <f t="shared" si="3"/>
        <v>444925</v>
      </c>
      <c r="R49" s="1">
        <f>P49+Q49</f>
        <v>9343425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2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4250000.0000000009</v>
      </c>
      <c r="Q50" s="1">
        <f t="shared" si="3"/>
        <v>212500.00000000003</v>
      </c>
      <c r="R50" s="1">
        <f>P50+Q50</f>
        <v>4462500.0000000009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2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4250000.0000000009</v>
      </c>
      <c r="Q51" s="1">
        <f t="shared" si="3"/>
        <v>212500.00000000003</v>
      </c>
      <c r="R51" s="1">
        <f>P51+Q51</f>
        <v>4462500.0000000009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2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1014000</v>
      </c>
      <c r="Q52" s="1">
        <f t="shared" si="3"/>
        <v>50700</v>
      </c>
      <c r="R52" s="1">
        <f>P52+Q52</f>
        <v>1064700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2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1536000</v>
      </c>
      <c r="Q53" s="1">
        <f t="shared" si="3"/>
        <v>76800</v>
      </c>
      <c r="R53" s="1">
        <f>P53+Q53</f>
        <v>1612800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2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2454800</v>
      </c>
      <c r="Q54" s="1">
        <f t="shared" si="3"/>
        <v>122740</v>
      </c>
      <c r="R54" s="1">
        <f>P54+Q54</f>
        <v>2577540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2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3291200</v>
      </c>
      <c r="Q55" s="1">
        <f t="shared" si="3"/>
        <v>164560</v>
      </c>
      <c r="R55" s="1">
        <f>P55+Q55</f>
        <v>3455760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2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2680000</v>
      </c>
      <c r="Q56" s="1">
        <f t="shared" si="3"/>
        <v>134000</v>
      </c>
      <c r="R56" s="1">
        <f>P56+Q56</f>
        <v>2814000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2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3544300</v>
      </c>
      <c r="Q57" s="1">
        <f t="shared" si="3"/>
        <v>177215</v>
      </c>
      <c r="R57" s="1">
        <f>P57+Q57</f>
        <v>3721515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2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6750000</v>
      </c>
      <c r="Q58" s="1">
        <f t="shared" si="3"/>
        <v>337500</v>
      </c>
      <c r="R58" s="1">
        <f>P58+Q58</f>
        <v>7087500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2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9187500</v>
      </c>
      <c r="Q59" s="1">
        <f t="shared" si="3"/>
        <v>459375</v>
      </c>
      <c r="R59" s="1">
        <f>P59+Q59</f>
        <v>9646875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2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810700</v>
      </c>
      <c r="Q60" s="1">
        <f t="shared" si="3"/>
        <v>40535</v>
      </c>
      <c r="R60" s="1">
        <f>P60+Q60</f>
        <v>851235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2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1313200</v>
      </c>
      <c r="Q61" s="1">
        <f t="shared" si="3"/>
        <v>65660</v>
      </c>
      <c r="R61" s="1">
        <f>P61+Q61</f>
        <v>1378860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2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2023000</v>
      </c>
      <c r="Q62" s="1">
        <f t="shared" si="3"/>
        <v>101150</v>
      </c>
      <c r="R62" s="1">
        <f>P62+Q62</f>
        <v>2124150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2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2800000</v>
      </c>
      <c r="Q63" s="1">
        <f t="shared" si="3"/>
        <v>140000</v>
      </c>
      <c r="R63" s="1">
        <f>P63+Q63</f>
        <v>2940000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2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1462500</v>
      </c>
      <c r="Q64" s="1">
        <f t="shared" si="3"/>
        <v>73125</v>
      </c>
      <c r="R64" s="1">
        <f>P64+Q64</f>
        <v>1535625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2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2106000</v>
      </c>
      <c r="Q65" s="1">
        <f t="shared" si="3"/>
        <v>105300</v>
      </c>
      <c r="R65" s="1">
        <f>P65+Q65</f>
        <v>2211300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2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ref="K66:K129" si="5">MONTH(J66)</f>
        <v>2</v>
      </c>
      <c r="L66">
        <f t="shared" ref="L66:L129" si="6">YEAR(J66)</f>
        <v>2022</v>
      </c>
      <c r="M66" s="1">
        <v>1656</v>
      </c>
      <c r="N66" s="1">
        <v>2300</v>
      </c>
      <c r="O66">
        <v>2</v>
      </c>
      <c r="P66" s="1">
        <f t="shared" ref="P66:P129" si="7">M66 * N66</f>
        <v>3808800</v>
      </c>
      <c r="Q66" s="1">
        <f t="shared" ref="Q66:Q129" si="8">IF(P66 &gt; 2000,P66/100*5,0)</f>
        <v>190440</v>
      </c>
      <c r="R66" s="1">
        <f>P66+Q66</f>
        <v>3999240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2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si="5"/>
        <v>2</v>
      </c>
      <c r="L67">
        <f t="shared" si="6"/>
        <v>2022</v>
      </c>
      <c r="M67" s="1">
        <v>1872</v>
      </c>
      <c r="N67" s="1">
        <v>2600</v>
      </c>
      <c r="O67">
        <v>1</v>
      </c>
      <c r="P67" s="1">
        <f t="shared" si="7"/>
        <v>4867200</v>
      </c>
      <c r="Q67" s="1">
        <f t="shared" si="8"/>
        <v>243360</v>
      </c>
      <c r="R67" s="1">
        <f>P67+Q67</f>
        <v>5110560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2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1008000</v>
      </c>
      <c r="Q68" s="1">
        <f t="shared" si="8"/>
        <v>50400</v>
      </c>
      <c r="R68" s="1">
        <f>P68+Q68</f>
        <v>1058400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2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2920000</v>
      </c>
      <c r="Q69" s="1">
        <f t="shared" si="8"/>
        <v>146000</v>
      </c>
      <c r="R69" s="1">
        <f>P69+Q69</f>
        <v>3066000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2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1575000</v>
      </c>
      <c r="Q70" s="1">
        <f t="shared" si="8"/>
        <v>78750</v>
      </c>
      <c r="R70" s="1">
        <f>P70+Q70</f>
        <v>1653750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2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4562500</v>
      </c>
      <c r="Q71" s="1">
        <f t="shared" si="8"/>
        <v>228125</v>
      </c>
      <c r="R71" s="1">
        <f>P71+Q71</f>
        <v>4790625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2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2268000</v>
      </c>
      <c r="Q72" s="1">
        <f t="shared" si="8"/>
        <v>113400</v>
      </c>
      <c r="R72" s="1">
        <f>P72+Q72</f>
        <v>2381400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2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1878500</v>
      </c>
      <c r="Q73" s="1">
        <f t="shared" si="8"/>
        <v>93925</v>
      </c>
      <c r="R73" s="1">
        <f>P73+Q73</f>
        <v>1972425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2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3087000</v>
      </c>
      <c r="Q74" s="1">
        <f t="shared" si="8"/>
        <v>154350</v>
      </c>
      <c r="R74" s="1">
        <f>P74+Q74</f>
        <v>3241350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2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2866500</v>
      </c>
      <c r="Q75" s="1">
        <f t="shared" si="8"/>
        <v>143325</v>
      </c>
      <c r="R75" s="1">
        <f>P75+Q75</f>
        <v>3009825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2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1166099.9999999998</v>
      </c>
      <c r="Q76" s="1">
        <f t="shared" si="8"/>
        <v>58304.999999999993</v>
      </c>
      <c r="R76" s="1">
        <f>P76+Q76</f>
        <v>1224404.9999999998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2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1552500</v>
      </c>
      <c r="Q77" s="1">
        <f t="shared" si="8"/>
        <v>77625</v>
      </c>
      <c r="R77" s="1">
        <f>P77+Q77</f>
        <v>1630125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2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1766400</v>
      </c>
      <c r="Q78" s="1">
        <f t="shared" si="8"/>
        <v>88320</v>
      </c>
      <c r="R78" s="1">
        <f>P78+Q78</f>
        <v>1854720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2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2235600</v>
      </c>
      <c r="Q79" s="1">
        <f t="shared" si="8"/>
        <v>111780</v>
      </c>
      <c r="R79" s="1">
        <f>P79+Q79</f>
        <v>2347380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2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3291200</v>
      </c>
      <c r="Q80" s="1">
        <f t="shared" si="8"/>
        <v>164560</v>
      </c>
      <c r="R80" s="1">
        <f>P80+Q80</f>
        <v>3455760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2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4250000.0000000009</v>
      </c>
      <c r="Q81" s="1">
        <f t="shared" si="8"/>
        <v>212500.00000000003</v>
      </c>
      <c r="R81" s="1">
        <f>P81+Q81</f>
        <v>4462500.0000000009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2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1014000</v>
      </c>
      <c r="Q82" s="1">
        <f t="shared" si="8"/>
        <v>50700</v>
      </c>
      <c r="R82" s="1">
        <f>P82+Q82</f>
        <v>1064700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2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1536000</v>
      </c>
      <c r="Q83" s="1">
        <f t="shared" si="8"/>
        <v>76800</v>
      </c>
      <c r="R83" s="1">
        <f>P83+Q83</f>
        <v>1612800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2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2454800</v>
      </c>
      <c r="Q84" s="1">
        <f t="shared" si="8"/>
        <v>122740</v>
      </c>
      <c r="R84" s="1">
        <f>P84+Q84</f>
        <v>2577540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2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3291200</v>
      </c>
      <c r="Q85" s="1">
        <f t="shared" si="8"/>
        <v>164560</v>
      </c>
      <c r="R85" s="1">
        <f>P85+Q85</f>
        <v>3455760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2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2680000</v>
      </c>
      <c r="Q86" s="1">
        <f t="shared" si="8"/>
        <v>134000</v>
      </c>
      <c r="R86" s="1">
        <f>P86+Q86</f>
        <v>2814000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2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3544300</v>
      </c>
      <c r="Q87" s="1">
        <f t="shared" si="8"/>
        <v>177215</v>
      </c>
      <c r="R87" s="1">
        <f>P87+Q87</f>
        <v>3721515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2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6750000</v>
      </c>
      <c r="Q88" s="1">
        <f t="shared" si="8"/>
        <v>337500</v>
      </c>
      <c r="R88" s="1">
        <f>P88+Q88</f>
        <v>7087500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2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9187500</v>
      </c>
      <c r="Q89" s="1">
        <f t="shared" si="8"/>
        <v>459375</v>
      </c>
      <c r="R89" s="1">
        <f>P89+Q89</f>
        <v>9646875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2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810700</v>
      </c>
      <c r="Q90" s="1">
        <f t="shared" si="8"/>
        <v>40535</v>
      </c>
      <c r="R90" s="1">
        <f>P90+Q90</f>
        <v>851235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2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1313200</v>
      </c>
      <c r="Q91" s="1">
        <f t="shared" si="8"/>
        <v>65660</v>
      </c>
      <c r="R91" s="1">
        <f>P91+Q91</f>
        <v>1378860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2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2023000</v>
      </c>
      <c r="Q92" s="1">
        <f t="shared" si="8"/>
        <v>101150</v>
      </c>
      <c r="R92" s="1">
        <f>P92+Q92</f>
        <v>2124150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2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2023000</v>
      </c>
      <c r="Q93" s="1">
        <f t="shared" si="8"/>
        <v>101150</v>
      </c>
      <c r="R93" s="1">
        <f>P93+Q93</f>
        <v>2124150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2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2800000</v>
      </c>
      <c r="Q94" s="1">
        <f t="shared" si="8"/>
        <v>140000</v>
      </c>
      <c r="R94" s="1">
        <f>P94+Q94</f>
        <v>2940000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2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2800000</v>
      </c>
      <c r="Q95" s="1">
        <f t="shared" si="8"/>
        <v>140000</v>
      </c>
      <c r="R95" s="1">
        <f>P95+Q95</f>
        <v>2940000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2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1462500</v>
      </c>
      <c r="Q96" s="1">
        <f t="shared" si="8"/>
        <v>73125</v>
      </c>
      <c r="R96" s="1">
        <f>P96+Q96</f>
        <v>1535625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2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1462500</v>
      </c>
      <c r="Q97" s="1">
        <f t="shared" si="8"/>
        <v>73125</v>
      </c>
      <c r="R97" s="1">
        <f>P97+Q97</f>
        <v>1535625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2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2106000</v>
      </c>
      <c r="Q98" s="1">
        <f t="shared" si="8"/>
        <v>105300</v>
      </c>
      <c r="R98" s="1">
        <f>P98+Q98</f>
        <v>2211300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2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2106000</v>
      </c>
      <c r="Q99" s="1">
        <f t="shared" si="8"/>
        <v>105300</v>
      </c>
      <c r="R99" s="1">
        <f>P99+Q99</f>
        <v>2211300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2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3808800</v>
      </c>
      <c r="Q100" s="1">
        <f t="shared" si="8"/>
        <v>190440</v>
      </c>
      <c r="R100" s="1">
        <f>P100+Q100</f>
        <v>3999240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2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3808800</v>
      </c>
      <c r="Q101" s="1">
        <f t="shared" si="8"/>
        <v>190440</v>
      </c>
      <c r="R101" s="1">
        <f>P101+Q101</f>
        <v>3999240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2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4867200</v>
      </c>
      <c r="Q102" s="1">
        <f t="shared" si="8"/>
        <v>243360</v>
      </c>
      <c r="R102" s="1">
        <f>P102+Q102</f>
        <v>5110560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2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4867200</v>
      </c>
      <c r="Q103" s="1">
        <f t="shared" si="8"/>
        <v>243360</v>
      </c>
      <c r="R103" s="1">
        <f>P103+Q103</f>
        <v>5110560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2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1008000</v>
      </c>
      <c r="Q104" s="1">
        <f t="shared" si="8"/>
        <v>50400</v>
      </c>
      <c r="R104" s="1">
        <f>P104+Q104</f>
        <v>1058400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2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2920000</v>
      </c>
      <c r="Q105" s="1">
        <f t="shared" si="8"/>
        <v>146000</v>
      </c>
      <c r="R105" s="1">
        <f>P105+Q105</f>
        <v>3066000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2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1575000</v>
      </c>
      <c r="Q106" s="1">
        <f t="shared" si="8"/>
        <v>78750</v>
      </c>
      <c r="R106" s="1">
        <f>P106+Q106</f>
        <v>1653750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2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4562500</v>
      </c>
      <c r="Q107" s="1">
        <f t="shared" si="8"/>
        <v>228125</v>
      </c>
      <c r="R107" s="1">
        <f>P107+Q107</f>
        <v>4790625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2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2268000</v>
      </c>
      <c r="Q108" s="1">
        <f t="shared" si="8"/>
        <v>113400</v>
      </c>
      <c r="R108" s="1">
        <f>P108+Q108</f>
        <v>2381400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2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1878500</v>
      </c>
      <c r="Q109" s="1">
        <f t="shared" si="8"/>
        <v>93925</v>
      </c>
      <c r="R109" s="1">
        <f>P109+Q109</f>
        <v>1972425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2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3087000</v>
      </c>
      <c r="Q110" s="1">
        <f t="shared" si="8"/>
        <v>154350</v>
      </c>
      <c r="R110" s="1">
        <f>P110+Q110</f>
        <v>3241350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2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3087000</v>
      </c>
      <c r="Q111" s="1">
        <f t="shared" si="8"/>
        <v>154350</v>
      </c>
      <c r="R111" s="1">
        <f>P111+Q111</f>
        <v>3241350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2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2866500</v>
      </c>
      <c r="Q112" s="1">
        <f t="shared" si="8"/>
        <v>143325</v>
      </c>
      <c r="R112" s="1">
        <f>P112+Q112</f>
        <v>3009825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2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1166099.9999999998</v>
      </c>
      <c r="Q113" s="1">
        <f t="shared" si="8"/>
        <v>58304.999999999993</v>
      </c>
      <c r="R113" s="1">
        <f>P113+Q113</f>
        <v>1224404.9999999998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2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1166099.9999999998</v>
      </c>
      <c r="Q114" s="1">
        <f t="shared" si="8"/>
        <v>58304.999999999993</v>
      </c>
      <c r="R114" s="1">
        <f>P114+Q114</f>
        <v>1224404.9999999998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2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1552500</v>
      </c>
      <c r="Q115" s="1">
        <f t="shared" si="8"/>
        <v>77625</v>
      </c>
      <c r="R115" s="1">
        <f>P115+Q115</f>
        <v>1630125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2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1766400</v>
      </c>
      <c r="Q116" s="1">
        <f t="shared" si="8"/>
        <v>88320</v>
      </c>
      <c r="R116" s="1">
        <f>P116+Q116</f>
        <v>1854720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2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1766400</v>
      </c>
      <c r="Q117" s="1">
        <f t="shared" si="8"/>
        <v>88320</v>
      </c>
      <c r="R117" s="1">
        <f>P117+Q117</f>
        <v>1854720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2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2235600</v>
      </c>
      <c r="Q118" s="1">
        <f t="shared" si="8"/>
        <v>111780</v>
      </c>
      <c r="R118" s="1">
        <f>P118+Q118</f>
        <v>2347380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2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3291200</v>
      </c>
      <c r="Q119" s="1">
        <f t="shared" si="8"/>
        <v>164560</v>
      </c>
      <c r="R119" s="1">
        <f>P119+Q119</f>
        <v>3455760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2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3291200</v>
      </c>
      <c r="Q120" s="1">
        <f t="shared" si="8"/>
        <v>164560</v>
      </c>
      <c r="R120" s="1">
        <f>P120+Q120</f>
        <v>3455760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2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6656000</v>
      </c>
      <c r="Q121" s="1">
        <f t="shared" si="8"/>
        <v>332800</v>
      </c>
      <c r="R121" s="1">
        <f>P121+Q121</f>
        <v>6988800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2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4250000.0000000009</v>
      </c>
      <c r="Q122" s="1">
        <f t="shared" si="8"/>
        <v>212500.00000000003</v>
      </c>
      <c r="R122" s="1">
        <f>P122+Q122</f>
        <v>4462500.0000000009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2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4250000.0000000009</v>
      </c>
      <c r="Q123" s="1">
        <f t="shared" si="8"/>
        <v>212500.00000000003</v>
      </c>
      <c r="R123" s="1">
        <f>P123+Q123</f>
        <v>4462500.0000000009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2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8898500</v>
      </c>
      <c r="Q124" s="1">
        <f t="shared" si="8"/>
        <v>444925</v>
      </c>
      <c r="R124" s="1">
        <f>P124+Q124</f>
        <v>9343425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2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1014000</v>
      </c>
      <c r="Q125" s="1">
        <f t="shared" si="8"/>
        <v>50700</v>
      </c>
      <c r="R125" s="1">
        <f>P125+Q125</f>
        <v>1064700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2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1536000</v>
      </c>
      <c r="Q126" s="1">
        <f t="shared" si="8"/>
        <v>76800</v>
      </c>
      <c r="R126" s="1">
        <f>P126+Q126</f>
        <v>1612800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2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2454800</v>
      </c>
      <c r="Q127" s="1">
        <f t="shared" si="8"/>
        <v>122740</v>
      </c>
      <c r="R127" s="1">
        <f>P127+Q127</f>
        <v>2577540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2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3291200</v>
      </c>
      <c r="Q128" s="1">
        <f t="shared" si="8"/>
        <v>164560</v>
      </c>
      <c r="R128" s="1">
        <f>P128+Q128</f>
        <v>3455760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2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2680000</v>
      </c>
      <c r="Q129" s="1">
        <f t="shared" si="8"/>
        <v>134000</v>
      </c>
      <c r="R129" s="1">
        <f>P129+Q129</f>
        <v>2814000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2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ref="K130:K193" si="9">MONTH(J130)</f>
        <v>1</v>
      </c>
      <c r="L130">
        <f t="shared" ref="L130:L193" si="10">YEAR(J130)</f>
        <v>2023</v>
      </c>
      <c r="M130" s="1">
        <v>1541</v>
      </c>
      <c r="N130" s="1">
        <v>2300</v>
      </c>
      <c r="O130">
        <v>1</v>
      </c>
      <c r="P130" s="1">
        <f t="shared" ref="P130:P193" si="11">M130 * N130</f>
        <v>3544300</v>
      </c>
      <c r="Q130" s="1">
        <f t="shared" ref="Q130:Q193" si="12">IF(P130 &gt; 2000,P130/100*5,0)</f>
        <v>177215</v>
      </c>
      <c r="R130" s="1">
        <f>P130+Q130</f>
        <v>3721515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2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si="9"/>
        <v>1</v>
      </c>
      <c r="L131">
        <f t="shared" si="10"/>
        <v>2023</v>
      </c>
      <c r="M131" s="1">
        <v>2250</v>
      </c>
      <c r="N131" s="1">
        <v>3000</v>
      </c>
      <c r="O131">
        <v>2</v>
      </c>
      <c r="P131" s="1">
        <f t="shared" si="11"/>
        <v>6750000</v>
      </c>
      <c r="Q131" s="1">
        <f t="shared" si="12"/>
        <v>337500</v>
      </c>
      <c r="R131" s="1">
        <f>P131+Q131</f>
        <v>7087500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2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9187500</v>
      </c>
      <c r="Q132" s="1">
        <f t="shared" si="12"/>
        <v>459375</v>
      </c>
      <c r="R132" s="1">
        <f>P132+Q132</f>
        <v>9646875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2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810700</v>
      </c>
      <c r="Q133" s="1">
        <f t="shared" si="12"/>
        <v>40535</v>
      </c>
      <c r="R133" s="1">
        <f>P133+Q133</f>
        <v>851235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2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810700</v>
      </c>
      <c r="Q134" s="1">
        <f t="shared" si="12"/>
        <v>40535</v>
      </c>
      <c r="R134" s="1">
        <f>P134+Q134</f>
        <v>851235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2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1313200</v>
      </c>
      <c r="Q135" s="1">
        <f t="shared" si="12"/>
        <v>65660</v>
      </c>
      <c r="R135" s="1">
        <f>P135+Q135</f>
        <v>1378860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2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1313200</v>
      </c>
      <c r="Q136" s="1">
        <f t="shared" si="12"/>
        <v>65660</v>
      </c>
      <c r="R136" s="1">
        <f>P136+Q136</f>
        <v>1378860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2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2023000</v>
      </c>
      <c r="Q137" s="1">
        <f t="shared" si="12"/>
        <v>101150</v>
      </c>
      <c r="R137" s="1">
        <f>P137+Q137</f>
        <v>2124150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2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2023000</v>
      </c>
      <c r="Q138" s="1">
        <f t="shared" si="12"/>
        <v>101150</v>
      </c>
      <c r="R138" s="1">
        <f>P138+Q138</f>
        <v>2124150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2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2800000</v>
      </c>
      <c r="Q139" s="1">
        <f t="shared" si="12"/>
        <v>140000</v>
      </c>
      <c r="R139" s="1">
        <f>P139+Q139</f>
        <v>2940000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2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2800000</v>
      </c>
      <c r="Q140" s="1">
        <f t="shared" si="12"/>
        <v>140000</v>
      </c>
      <c r="R140" s="1">
        <f>P140+Q140</f>
        <v>2940000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2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1462500</v>
      </c>
      <c r="Q141" s="1">
        <f t="shared" si="12"/>
        <v>73125</v>
      </c>
      <c r="R141" s="1">
        <f>P141+Q141</f>
        <v>1535625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2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1462500</v>
      </c>
      <c r="Q142" s="1">
        <f t="shared" si="12"/>
        <v>73125</v>
      </c>
      <c r="R142" s="1">
        <f>P142+Q142</f>
        <v>1535625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2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2106000</v>
      </c>
      <c r="Q143" s="1">
        <f t="shared" si="12"/>
        <v>105300</v>
      </c>
      <c r="R143" s="1">
        <f>P143+Q143</f>
        <v>2211300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2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2106000</v>
      </c>
      <c r="Q144" s="1">
        <f t="shared" si="12"/>
        <v>105300</v>
      </c>
      <c r="R144" s="1">
        <f>P144+Q144</f>
        <v>2211300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2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3808800</v>
      </c>
      <c r="Q145" s="1">
        <f t="shared" si="12"/>
        <v>190440</v>
      </c>
      <c r="R145" s="1">
        <f>P145+Q145</f>
        <v>3999240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2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3808800</v>
      </c>
      <c r="Q146" s="1">
        <f t="shared" si="12"/>
        <v>190440</v>
      </c>
      <c r="R146" s="1">
        <f>P146+Q146</f>
        <v>3999240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2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4867200</v>
      </c>
      <c r="Q147" s="1">
        <f t="shared" si="12"/>
        <v>243360</v>
      </c>
      <c r="R147" s="1">
        <f>P147+Q147</f>
        <v>5110560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2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4867200</v>
      </c>
      <c r="Q148" s="1">
        <f t="shared" si="12"/>
        <v>243360</v>
      </c>
      <c r="R148" s="1">
        <f>P148+Q148</f>
        <v>5110560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2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13500</v>
      </c>
      <c r="Q149" s="1">
        <f t="shared" si="12"/>
        <v>675</v>
      </c>
      <c r="R149" s="1">
        <f>P149+Q149</f>
        <v>14175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2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1008000</v>
      </c>
      <c r="Q150" s="1">
        <f t="shared" si="12"/>
        <v>50400</v>
      </c>
      <c r="R150" s="1">
        <f>P150+Q150</f>
        <v>1058400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2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24000</v>
      </c>
      <c r="Q151" s="1">
        <f t="shared" si="12"/>
        <v>1200</v>
      </c>
      <c r="R151" s="1">
        <f>P151+Q151</f>
        <v>25200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2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1575000</v>
      </c>
      <c r="Q152" s="1">
        <f t="shared" si="12"/>
        <v>78750</v>
      </c>
      <c r="R152" s="1">
        <f>P152+Q152</f>
        <v>1653750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2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96000</v>
      </c>
      <c r="Q153" s="1">
        <f t="shared" si="12"/>
        <v>4800</v>
      </c>
      <c r="R153" s="1">
        <f>P153+Q153</f>
        <v>100800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2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2268000</v>
      </c>
      <c r="Q154" s="1">
        <f t="shared" si="12"/>
        <v>113400</v>
      </c>
      <c r="R154" s="1">
        <f>P154+Q154</f>
        <v>2381400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2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216000</v>
      </c>
      <c r="Q155" s="1">
        <f t="shared" si="12"/>
        <v>10800</v>
      </c>
      <c r="R155" s="1">
        <f>P155+Q155</f>
        <v>226800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2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3087000</v>
      </c>
      <c r="Q156" s="1">
        <f t="shared" si="12"/>
        <v>154350</v>
      </c>
      <c r="R156" s="1">
        <f>P156+Q156</f>
        <v>3241350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2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2332800</v>
      </c>
      <c r="Q157" s="1">
        <f t="shared" si="12"/>
        <v>116640</v>
      </c>
      <c r="R157" s="1">
        <f>P157+Q157</f>
        <v>2449440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2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1166099.9999999998</v>
      </c>
      <c r="Q158" s="1">
        <f t="shared" si="12"/>
        <v>58304.999999999993</v>
      </c>
      <c r="R158" s="1">
        <f>P158+Q158</f>
        <v>1224404.9999999998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2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4147200</v>
      </c>
      <c r="Q159" s="1">
        <f t="shared" si="12"/>
        <v>207360</v>
      </c>
      <c r="R159" s="1">
        <f>P159+Q159</f>
        <v>4354560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2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1766400</v>
      </c>
      <c r="Q160" s="1">
        <f t="shared" si="12"/>
        <v>88320</v>
      </c>
      <c r="R160" s="1">
        <f>P160+Q160</f>
        <v>1854720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2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3131100</v>
      </c>
      <c r="Q161" s="1">
        <f t="shared" si="12"/>
        <v>156555</v>
      </c>
      <c r="R161" s="1">
        <f>P161+Q161</f>
        <v>3287655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2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3291200</v>
      </c>
      <c r="Q162" s="1">
        <f t="shared" si="12"/>
        <v>164560</v>
      </c>
      <c r="R162" s="1">
        <f>P162+Q162</f>
        <v>3455760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2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4799600</v>
      </c>
      <c r="Q163" s="1">
        <f t="shared" si="12"/>
        <v>239980</v>
      </c>
      <c r="R163" s="1">
        <f>P163+Q163</f>
        <v>5039580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2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4250000.0000000009</v>
      </c>
      <c r="Q164" s="1">
        <f t="shared" si="12"/>
        <v>212500.00000000003</v>
      </c>
      <c r="R164" s="1">
        <f>P164+Q164</f>
        <v>4462500.0000000009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2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864000</v>
      </c>
      <c r="Q165" s="1">
        <f t="shared" si="12"/>
        <v>43200</v>
      </c>
      <c r="R165" s="1">
        <f>P165+Q165</f>
        <v>907200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2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864000</v>
      </c>
      <c r="Q166" s="1">
        <f t="shared" si="12"/>
        <v>43200</v>
      </c>
      <c r="R166" s="1">
        <f>P166+Q166</f>
        <v>907200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2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1350000</v>
      </c>
      <c r="Q167" s="1">
        <f t="shared" si="12"/>
        <v>67500</v>
      </c>
      <c r="R167" s="1">
        <f>P167+Q167</f>
        <v>1417500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2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1350000</v>
      </c>
      <c r="Q168" s="1">
        <f t="shared" si="12"/>
        <v>67500</v>
      </c>
      <c r="R168" s="1">
        <f>P168+Q168</f>
        <v>1417500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2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5409599.9999999991</v>
      </c>
      <c r="Q169" s="1">
        <f t="shared" si="12"/>
        <v>270479.99999999994</v>
      </c>
      <c r="R169" s="1">
        <f>P169+Q169</f>
        <v>5680079.9999999991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2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810700</v>
      </c>
      <c r="Q170" s="1">
        <f t="shared" si="12"/>
        <v>40535</v>
      </c>
      <c r="R170" s="1">
        <f>P170+Q170</f>
        <v>851235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2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5409599.9999999991</v>
      </c>
      <c r="Q171" s="1">
        <f t="shared" si="12"/>
        <v>270479.99999999994</v>
      </c>
      <c r="R171" s="1">
        <f>P171+Q171</f>
        <v>5680079.9999999991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2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7065600</v>
      </c>
      <c r="Q172" s="1">
        <f t="shared" si="12"/>
        <v>353280</v>
      </c>
      <c r="R172" s="1">
        <f>P172+Q172</f>
        <v>7418880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2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1313200</v>
      </c>
      <c r="Q173" s="1">
        <f t="shared" si="12"/>
        <v>65660</v>
      </c>
      <c r="R173" s="1">
        <f>P173+Q173</f>
        <v>1378860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2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7065600</v>
      </c>
      <c r="Q174" s="1">
        <f t="shared" si="12"/>
        <v>353280</v>
      </c>
      <c r="R174" s="1">
        <f>P174+Q174</f>
        <v>7418880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2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1313200</v>
      </c>
      <c r="Q175" s="1">
        <f t="shared" si="12"/>
        <v>65660</v>
      </c>
      <c r="R175" s="1">
        <f>P175+Q175</f>
        <v>1378860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2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3000000</v>
      </c>
      <c r="Q176" s="1">
        <f t="shared" si="12"/>
        <v>150000</v>
      </c>
      <c r="R176" s="1">
        <f>P176+Q176</f>
        <v>3150000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2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2023000</v>
      </c>
      <c r="Q177" s="1">
        <f t="shared" si="12"/>
        <v>101150</v>
      </c>
      <c r="R177" s="1">
        <f>P177+Q177</f>
        <v>2124150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2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3000000</v>
      </c>
      <c r="Q178" s="1">
        <f t="shared" si="12"/>
        <v>150000</v>
      </c>
      <c r="R178" s="1">
        <f>P178+Q178</f>
        <v>3150000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2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2023000</v>
      </c>
      <c r="Q179" s="1">
        <f t="shared" si="12"/>
        <v>101150</v>
      </c>
      <c r="R179" s="1">
        <f>P179+Q179</f>
        <v>2124150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2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4320000</v>
      </c>
      <c r="Q180" s="1">
        <f t="shared" si="12"/>
        <v>216000</v>
      </c>
      <c r="R180" s="1">
        <f>P180+Q180</f>
        <v>4536000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2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2800000</v>
      </c>
      <c r="Q181" s="1">
        <f t="shared" si="12"/>
        <v>140000</v>
      </c>
      <c r="R181" s="1">
        <f>P181+Q181</f>
        <v>2940000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2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4320000</v>
      </c>
      <c r="Q182" s="1">
        <f t="shared" si="12"/>
        <v>216000</v>
      </c>
      <c r="R182" s="1">
        <f>P182+Q182</f>
        <v>4536000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2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2800000</v>
      </c>
      <c r="Q183" s="1">
        <f t="shared" si="12"/>
        <v>140000</v>
      </c>
      <c r="R183" s="1">
        <f>P183+Q183</f>
        <v>2940000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2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6643900</v>
      </c>
      <c r="Q184" s="1">
        <f t="shared" si="12"/>
        <v>332195</v>
      </c>
      <c r="R184" s="1">
        <f>P184+Q184</f>
        <v>6976095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2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1462500</v>
      </c>
      <c r="Q185" s="1">
        <f t="shared" si="12"/>
        <v>73125</v>
      </c>
      <c r="R185" s="1">
        <f>P185+Q185</f>
        <v>1535625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2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6643900</v>
      </c>
      <c r="Q186" s="1">
        <f t="shared" si="12"/>
        <v>332195</v>
      </c>
      <c r="R186" s="1">
        <f>P186+Q186</f>
        <v>6976095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2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1462500</v>
      </c>
      <c r="Q187" s="1">
        <f t="shared" si="12"/>
        <v>73125</v>
      </c>
      <c r="R187" s="1">
        <f>P187+Q187</f>
        <v>1535625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2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8603100</v>
      </c>
      <c r="Q188" s="1">
        <f t="shared" si="12"/>
        <v>430155</v>
      </c>
      <c r="R188" s="1">
        <f>P188+Q188</f>
        <v>9033255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2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2106000</v>
      </c>
      <c r="Q189" s="1">
        <f t="shared" si="12"/>
        <v>105300</v>
      </c>
      <c r="R189" s="1">
        <f>P189+Q189</f>
        <v>2211300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2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2106000</v>
      </c>
      <c r="Q190" s="1">
        <f t="shared" si="12"/>
        <v>105300</v>
      </c>
      <c r="R190" s="1">
        <f>P190+Q190</f>
        <v>2211300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2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3808800</v>
      </c>
      <c r="Q191" s="1">
        <f t="shared" si="12"/>
        <v>190440</v>
      </c>
      <c r="R191" s="1">
        <f>P191+Q191</f>
        <v>3999240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2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3808800</v>
      </c>
      <c r="Q192" s="1">
        <f t="shared" si="12"/>
        <v>190440</v>
      </c>
      <c r="R192" s="1">
        <f>P192+Q192</f>
        <v>3999240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2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4867200</v>
      </c>
      <c r="Q193" s="1">
        <f t="shared" si="12"/>
        <v>243360</v>
      </c>
      <c r="R193" s="1">
        <f>P193+Q193</f>
        <v>5110560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2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ref="K194:K257" si="13">MONTH(J194)</f>
        <v>2</v>
      </c>
      <c r="L194">
        <f t="shared" ref="L194:L246" si="14">YEAR(J194)</f>
        <v>2023</v>
      </c>
      <c r="M194" s="1">
        <v>1872</v>
      </c>
      <c r="N194" s="1">
        <v>2600</v>
      </c>
      <c r="O194">
        <v>1</v>
      </c>
      <c r="P194" s="1">
        <f t="shared" ref="P194:P246" si="15">M194 * N194</f>
        <v>4867200</v>
      </c>
      <c r="Q194" s="1">
        <f t="shared" ref="Q194:Q257" si="16">IF(P194 &gt; 2000,P194/100*5,0)</f>
        <v>243360</v>
      </c>
      <c r="R194" s="1">
        <f>P194+Q194</f>
        <v>5110560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2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si="13"/>
        <v>3</v>
      </c>
      <c r="L195">
        <f t="shared" si="14"/>
        <v>2023</v>
      </c>
      <c r="M195" s="1">
        <v>840</v>
      </c>
      <c r="N195" s="1">
        <v>1200</v>
      </c>
      <c r="O195">
        <v>2</v>
      </c>
      <c r="P195" s="1">
        <f t="shared" si="15"/>
        <v>1008000</v>
      </c>
      <c r="Q195" s="1">
        <f t="shared" si="16"/>
        <v>50400</v>
      </c>
      <c r="R195" s="1">
        <f>P195+Q195</f>
        <v>1058400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2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2920000</v>
      </c>
      <c r="Q196" s="1">
        <f t="shared" si="16"/>
        <v>146000</v>
      </c>
      <c r="R196" s="1">
        <f>P196+Q196</f>
        <v>3066000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2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1008000</v>
      </c>
      <c r="Q197" s="1">
        <f t="shared" si="16"/>
        <v>50400</v>
      </c>
      <c r="R197" s="1">
        <f>P197+Q197</f>
        <v>1058400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2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1575000</v>
      </c>
      <c r="Q198" s="1">
        <f t="shared" si="16"/>
        <v>78750</v>
      </c>
      <c r="R198" s="1">
        <f>P198+Q198</f>
        <v>1653750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2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4562500</v>
      </c>
      <c r="Q199" s="1">
        <f t="shared" si="16"/>
        <v>228125</v>
      </c>
      <c r="R199" s="1">
        <f>P199+Q199</f>
        <v>4790625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2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1575000</v>
      </c>
      <c r="Q200" s="1">
        <f t="shared" si="16"/>
        <v>78750</v>
      </c>
      <c r="R200" s="1">
        <f>P200+Q200</f>
        <v>1653750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2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2268000</v>
      </c>
      <c r="Q201" s="1">
        <f t="shared" si="16"/>
        <v>113400</v>
      </c>
      <c r="R201" s="1">
        <f>P201+Q201</f>
        <v>2381400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2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1878500</v>
      </c>
      <c r="Q202" s="1">
        <f t="shared" si="16"/>
        <v>93925</v>
      </c>
      <c r="R202" s="1">
        <f>P202+Q202</f>
        <v>1972425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2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2268000</v>
      </c>
      <c r="Q203" s="1">
        <f t="shared" si="16"/>
        <v>113400</v>
      </c>
      <c r="R203" s="1">
        <f>P203+Q203</f>
        <v>2381400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2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3087000</v>
      </c>
      <c r="Q204" s="1">
        <f t="shared" si="16"/>
        <v>154350</v>
      </c>
      <c r="R204" s="1">
        <f>P204+Q204</f>
        <v>3241350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2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2866500</v>
      </c>
      <c r="Q205" s="1">
        <f t="shared" si="16"/>
        <v>143325</v>
      </c>
      <c r="R205" s="1">
        <f>P205+Q205</f>
        <v>3009825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2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3087000</v>
      </c>
      <c r="Q206" s="1">
        <f t="shared" si="16"/>
        <v>154350</v>
      </c>
      <c r="R206" s="1">
        <f>P206+Q206</f>
        <v>3241350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2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1166099.9999999998</v>
      </c>
      <c r="Q207" s="1">
        <f t="shared" si="16"/>
        <v>58304.999999999993</v>
      </c>
      <c r="R207" s="1">
        <f>P207+Q207</f>
        <v>1224404.9999999998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2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1552500</v>
      </c>
      <c r="Q208" s="1">
        <f t="shared" si="16"/>
        <v>77625</v>
      </c>
      <c r="R208" s="1">
        <f>P208+Q208</f>
        <v>1630125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2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1166099.9999999998</v>
      </c>
      <c r="Q209" s="1">
        <f t="shared" si="16"/>
        <v>58304.999999999993</v>
      </c>
      <c r="R209" s="1">
        <f>P209+Q209</f>
        <v>1224404.9999999998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2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1766400</v>
      </c>
      <c r="Q210" s="1">
        <f t="shared" si="16"/>
        <v>88320</v>
      </c>
      <c r="R210" s="1">
        <f>P210+Q210</f>
        <v>1854720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2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2235600</v>
      </c>
      <c r="Q211" s="1">
        <f t="shared" si="16"/>
        <v>111780</v>
      </c>
      <c r="R211" s="1">
        <f>P211+Q211</f>
        <v>2347380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2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1766400</v>
      </c>
      <c r="Q212" s="1">
        <f t="shared" si="16"/>
        <v>88320</v>
      </c>
      <c r="R212" s="1">
        <f>P212+Q212</f>
        <v>1854720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2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3291200</v>
      </c>
      <c r="Q213" s="1">
        <f t="shared" si="16"/>
        <v>164560</v>
      </c>
      <c r="R213" s="1">
        <f>P213+Q213</f>
        <v>3455760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2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6656000</v>
      </c>
      <c r="Q214" s="1">
        <f t="shared" si="16"/>
        <v>332800</v>
      </c>
      <c r="R214" s="1">
        <f>P214+Q214</f>
        <v>6988800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2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3291200</v>
      </c>
      <c r="Q215" s="1">
        <f t="shared" si="16"/>
        <v>164560</v>
      </c>
      <c r="R215" s="1">
        <f>P215+Q215</f>
        <v>3455760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2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4250000.0000000009</v>
      </c>
      <c r="Q216" s="1">
        <f t="shared" si="16"/>
        <v>212500.00000000003</v>
      </c>
      <c r="R216" s="1">
        <f>P216+Q216</f>
        <v>4462500.0000000009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2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8898500</v>
      </c>
      <c r="Q217" s="1">
        <f t="shared" si="16"/>
        <v>444925</v>
      </c>
      <c r="R217" s="1">
        <f>P217+Q217</f>
        <v>9343425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2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4250000.0000000009</v>
      </c>
      <c r="Q218" s="1">
        <f t="shared" si="16"/>
        <v>212500.00000000003</v>
      </c>
      <c r="R218" s="1">
        <f>P218+Q218</f>
        <v>4462500.0000000009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2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1014000</v>
      </c>
      <c r="Q219" s="1">
        <f t="shared" si="16"/>
        <v>50700</v>
      </c>
      <c r="R219" s="1">
        <f>P219+Q219</f>
        <v>1064700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2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1014000</v>
      </c>
      <c r="Q220" s="1">
        <f t="shared" si="16"/>
        <v>50700</v>
      </c>
      <c r="R220" s="1">
        <f>P220+Q220</f>
        <v>1064700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2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1536000</v>
      </c>
      <c r="Q221" s="1">
        <f t="shared" si="16"/>
        <v>76800</v>
      </c>
      <c r="R221" s="1">
        <f>P221+Q221</f>
        <v>1612800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2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1536000</v>
      </c>
      <c r="Q222" s="1">
        <f t="shared" si="16"/>
        <v>76800</v>
      </c>
      <c r="R222" s="1">
        <f>P222+Q222</f>
        <v>1612800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2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2454800</v>
      </c>
      <c r="Q223" s="1">
        <f t="shared" si="16"/>
        <v>122740</v>
      </c>
      <c r="R223" s="1">
        <f>P223+Q223</f>
        <v>2577540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2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2454800</v>
      </c>
      <c r="Q224" s="1">
        <f t="shared" si="16"/>
        <v>122740</v>
      </c>
      <c r="R224" s="1">
        <f>P224+Q224</f>
        <v>2577540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2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3291200</v>
      </c>
      <c r="Q225" s="1">
        <f t="shared" si="16"/>
        <v>164560</v>
      </c>
      <c r="R225" s="1">
        <f>P225+Q225</f>
        <v>3455760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2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3291200</v>
      </c>
      <c r="Q226" s="1">
        <f t="shared" si="16"/>
        <v>164560</v>
      </c>
      <c r="R226" s="1">
        <f>P226+Q226</f>
        <v>3455760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2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2680000</v>
      </c>
      <c r="Q227" s="1">
        <f t="shared" si="16"/>
        <v>134000</v>
      </c>
      <c r="R227" s="1">
        <f>P227+Q227</f>
        <v>2814000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2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3544300</v>
      </c>
      <c r="Q228" s="1">
        <f t="shared" si="16"/>
        <v>177215</v>
      </c>
      <c r="R228" s="1">
        <f>P228+Q228</f>
        <v>3721515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2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6750000</v>
      </c>
      <c r="Q229" s="1">
        <f t="shared" si="16"/>
        <v>337500</v>
      </c>
      <c r="R229" s="1">
        <f>P229+Q229</f>
        <v>7087500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2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9187500</v>
      </c>
      <c r="Q230" s="1">
        <f t="shared" si="16"/>
        <v>459375</v>
      </c>
      <c r="R230" s="1">
        <f>P230+Q230</f>
        <v>9646875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2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810700</v>
      </c>
      <c r="Q231" s="1">
        <f t="shared" si="16"/>
        <v>40535</v>
      </c>
      <c r="R231" s="1">
        <f>P231+Q231</f>
        <v>851235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2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810700</v>
      </c>
      <c r="Q232" s="1">
        <f t="shared" si="16"/>
        <v>40535</v>
      </c>
      <c r="R232" s="1">
        <f>P232+Q232</f>
        <v>851235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2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1313200</v>
      </c>
      <c r="Q233" s="1">
        <f t="shared" si="16"/>
        <v>65660</v>
      </c>
      <c r="R233" s="1">
        <f>P233+Q233</f>
        <v>1378860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2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1313200</v>
      </c>
      <c r="Q234" s="1">
        <f t="shared" si="16"/>
        <v>65660</v>
      </c>
      <c r="R234" s="1">
        <f>P234+Q234</f>
        <v>1378860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2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2023000</v>
      </c>
      <c r="Q235" s="1">
        <f t="shared" si="16"/>
        <v>101150</v>
      </c>
      <c r="R235" s="1">
        <f>P235+Q235</f>
        <v>2124150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2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2023000</v>
      </c>
      <c r="Q236" s="1">
        <f t="shared" si="16"/>
        <v>101150</v>
      </c>
      <c r="R236" s="1">
        <f>P236+Q236</f>
        <v>2124150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2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2800000</v>
      </c>
      <c r="Q237" s="1">
        <f t="shared" si="16"/>
        <v>140000</v>
      </c>
      <c r="R237" s="1">
        <f>P237+Q237</f>
        <v>2940000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2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2800000</v>
      </c>
      <c r="Q238" s="1">
        <f t="shared" si="16"/>
        <v>140000</v>
      </c>
      <c r="R238" s="1">
        <f>P238+Q238</f>
        <v>2940000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2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1462500</v>
      </c>
      <c r="Q239" s="1">
        <f t="shared" si="16"/>
        <v>73125</v>
      </c>
      <c r="R239" s="1">
        <f>P239+Q239</f>
        <v>1535625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2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1462500</v>
      </c>
      <c r="Q240" s="1">
        <f t="shared" si="16"/>
        <v>73125</v>
      </c>
      <c r="R240" s="1">
        <f>P240+Q240</f>
        <v>1535625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2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2106000</v>
      </c>
      <c r="Q241" s="1">
        <f t="shared" si="16"/>
        <v>105300</v>
      </c>
      <c r="R241" s="1">
        <f>P241+Q241</f>
        <v>2211300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2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2106000</v>
      </c>
      <c r="Q242" s="1">
        <f t="shared" si="16"/>
        <v>105300</v>
      </c>
      <c r="R242" s="1">
        <f>P242+Q242</f>
        <v>2211300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2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3808800</v>
      </c>
      <c r="Q243" s="1">
        <f t="shared" si="16"/>
        <v>190440</v>
      </c>
      <c r="R243" s="1">
        <f>P243+Q243</f>
        <v>3999240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2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3808800</v>
      </c>
      <c r="Q244" s="1">
        <f t="shared" si="16"/>
        <v>190440</v>
      </c>
      <c r="R244" s="1">
        <f>P244+Q244</f>
        <v>3999240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2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2995200</v>
      </c>
      <c r="Q245" s="1">
        <f t="shared" si="16"/>
        <v>149760</v>
      </c>
      <c r="R245" s="1">
        <f>P245+Q245</f>
        <v>3144960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2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4867200</v>
      </c>
      <c r="Q246" s="1">
        <f t="shared" si="16"/>
        <v>243360</v>
      </c>
      <c r="R246" s="1">
        <f>P246+Q246</f>
        <v>5110560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mergeCells count="2">
    <mergeCell ref="A4:D4"/>
    <mergeCell ref="A10:D10"/>
  </mergeCells>
  <phoneticPr fontId="5" type="noConversion"/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Gabriel Yakpaoro Gamy</cp:lastModifiedBy>
  <cp:revision/>
  <dcterms:created xsi:type="dcterms:W3CDTF">2023-05-23T18:13:08Z</dcterms:created>
  <dcterms:modified xsi:type="dcterms:W3CDTF">2025-11-06T05:11:09Z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